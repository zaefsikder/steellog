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/>
  <xr:revisionPtr revIDLastSave="0" documentId="11_C10EB4707E50D900111D757B971E0A02A6566F7B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📋 Program Overview" sheetId="1" r:id="rId1"/>
    <sheet name="📈 Progress Tracker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2" l="1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<sst xmlns="http://schemas.openxmlformats.org/spreadsheetml/2006/main" count="196" uniqueCount="96">
  <si>
    <t>HYBRID MOBILITY + HYPERTROPHY  |  3–4 Days / Week  |  45–60 Min</t>
  </si>
  <si>
    <t xml:space="preserve">  DAY A  –  Lower Body   —   Mobility + Squat Pattern + Hinge</t>
  </si>
  <si>
    <t>Exercise</t>
  </si>
  <si>
    <t>Category</t>
  </si>
  <si>
    <t>Sets × Reps</t>
  </si>
  <si>
    <t>Notes / Cues</t>
  </si>
  <si>
    <t>Platz Stretch</t>
  </si>
  <si>
    <t>Mobility</t>
  </si>
  <si>
    <t>3 × 45–60s hold</t>
  </si>
  <si>
    <t>Deep squat hold, elbows push knees out, breathe into stretch</t>
  </si>
  <si>
    <t>Zercher / Hack Squat</t>
  </si>
  <si>
    <t>Strength</t>
  </si>
  <si>
    <t>4 × 5–8</t>
  </si>
  <si>
    <t>Alternate Zercher &amp; Hack each session; Zercher: elbows locked, upright torso</t>
  </si>
  <si>
    <t>Bulgarian Split Squat</t>
  </si>
  <si>
    <t>Hypertrophy</t>
  </si>
  <si>
    <t>3 × 8–10 / leg</t>
  </si>
  <si>
    <t>Rear foot on bench, vertical front shin, knee tracks toe</t>
  </si>
  <si>
    <t>RDL</t>
  </si>
  <si>
    <t>3–4 × 8–10</t>
  </si>
  <si>
    <t>Hip hinge — not a squat; bar drags down leg, neutral spine throughout</t>
  </si>
  <si>
    <t>Horse Stance Good Morning</t>
  </si>
  <si>
    <t>3 × 10</t>
  </si>
  <si>
    <t>Wide stance, hinge at hip, long spine, feel hamstrings load</t>
  </si>
  <si>
    <t>Calf Extensions</t>
  </si>
  <si>
    <t>3 × 15–20</t>
  </si>
  <si>
    <t>Full ROM: pause at bottom stretch and top contraction; no bouncing</t>
  </si>
  <si>
    <t xml:space="preserve">  DAY B  –  Push   —   Chest + Shoulders + Triceps</t>
  </si>
  <si>
    <t>Smith Machine Incline Press</t>
  </si>
  <si>
    <t>4 × 8–12</t>
  </si>
  <si>
    <t>30° incline, bar to upper chest, 2–3s descent, full lockout</t>
  </si>
  <si>
    <t>Overhead Press</t>
  </si>
  <si>
    <t>3–4 × 6–10</t>
  </si>
  <si>
    <t>Strict press; brace core, bar starts at clavicle, full lockout overhead</t>
  </si>
  <si>
    <t>Lateral Raise</t>
  </si>
  <si>
    <t>Lead with elbow, slight forward lean, thumb slightly down; no swing</t>
  </si>
  <si>
    <t>Dips</t>
  </si>
  <si>
    <t>3 × 8–12</t>
  </si>
  <si>
    <t>Slight forward lean for chest; add weight when 12+ reps clean</t>
  </si>
  <si>
    <t>Katana Extension</t>
  </si>
  <si>
    <t>3 × 12–15</t>
  </si>
  <si>
    <t>Cable overhead; elbows fixed, slow eccentric, full stretch at top</t>
  </si>
  <si>
    <t>Tricep Pulldown</t>
  </si>
  <si>
    <t>Elbows pinned to sides, full lockout each rep; try rope for extra ROM</t>
  </si>
  <si>
    <t xml:space="preserve">  DAY C  –  Pull + Biceps + Core   —   Back Width + Arm Flexors + Core</t>
  </si>
  <si>
    <t>Pull-Ups</t>
  </si>
  <si>
    <t>4 × max (weighted when 12+)</t>
  </si>
  <si>
    <t>Dead hang start, full extension at bottom; add load with belt</t>
  </si>
  <si>
    <t>Front Lever</t>
  </si>
  <si>
    <t>Skill/Core</t>
  </si>
  <si>
    <t>3 × max hold</t>
  </si>
  <si>
    <t>Tuck → adv. tuck → straddle; depress scaps, hollow body, arms straight</t>
  </si>
  <si>
    <t>Cable Row</t>
  </si>
  <si>
    <t>3–4 × 10–12</t>
  </si>
  <si>
    <t>Slight lean at start, pull to navel, retract scaps at peak</t>
  </si>
  <si>
    <t>Bayesian Curl</t>
  </si>
  <si>
    <t>Cable behind body, step forward to load stretch, full extension at bottom</t>
  </si>
  <si>
    <t>Preacher Curl</t>
  </si>
  <si>
    <t>3 × 10–12</t>
  </si>
  <si>
    <t>Upper arm fully on pad; slow 3s descent; don't lift off pad at top</t>
  </si>
  <si>
    <t>Hanging Leg Raise</t>
  </si>
  <si>
    <t>Core</t>
  </si>
  <si>
    <t>Posterior pelvic tilt, no swing, controlled descent; progress to toes-to-bar</t>
  </si>
  <si>
    <t xml:space="preserve">  DAY D  –  Posterior Chain + Core   —   Hip Hinge Power + Hamstrings + Core</t>
  </si>
  <si>
    <t>KB Swings</t>
  </si>
  <si>
    <t>4 × 15–20</t>
  </si>
  <si>
    <t>Hip snap — not a squat; hike bell back, neutral spine, glute squeeze at top</t>
  </si>
  <si>
    <t>Seated / Lying Leg Curl</t>
  </si>
  <si>
    <t>Full ROM, squeeze hard at peak contraction, 2–3s lowering phase</t>
  </si>
  <si>
    <t>Roman Chair Hyperext.</t>
  </si>
  <si>
    <t>Hinge at hip, neutral spine at top; add plate to chest when 20+ easy</t>
  </si>
  <si>
    <t>V-Ups</t>
  </si>
  <si>
    <t>Full extension on descent, meet hands to feet; progress to weighted</t>
  </si>
  <si>
    <t>PROGRESS TRACKER  —  Log weights each session · Est. 1RM auto-calculates · Color scale shows progression</t>
  </si>
  <si>
    <t>Best Weight &amp; Best Reps = your top set ever. Est. 1RM uses Epley formula. Weekly columns: log working weight used each week.</t>
  </si>
  <si>
    <t>Day</t>
  </si>
  <si>
    <t>Best
Weight</t>
  </si>
  <si>
    <t>Best
Reps</t>
  </si>
  <si>
    <t>Est. 1RM</t>
  </si>
  <si>
    <t>Wk 1</t>
  </si>
  <si>
    <t>Wk 2</t>
  </si>
  <si>
    <t>Wk 3</t>
  </si>
  <si>
    <t>Wk 4</t>
  </si>
  <si>
    <t>Wk 5</t>
  </si>
  <si>
    <t>Wk 6</t>
  </si>
  <si>
    <t>Wk 7</t>
  </si>
  <si>
    <t>Wk 8</t>
  </si>
  <si>
    <t>Goal / Notes</t>
  </si>
  <si>
    <t>A</t>
  </si>
  <si>
    <t>B</t>
  </si>
  <si>
    <t>C</t>
  </si>
  <si>
    <t>D</t>
  </si>
  <si>
    <t>60x3 used that half ball thing</t>
  </si>
  <si>
    <t>135 10x3 felt it more on my forearms</t>
  </si>
  <si>
    <t>60x3 medicine ball</t>
  </si>
  <si>
    <t>185 10x3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</si>
</sst>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7D6608"/>
      <name val="Arial"/>
      <charset val="1"/>
    </font>
    <font>
      <sz val="9"/>
      <color rgb="FF1A1A1A"/>
      <name val="Arial"/>
      <charset val="1"/>
    </font>
    <font>
      <sz val="9"/>
      <color rgb="FF922B21"/>
      <name val="Arial"/>
      <charset val="1"/>
    </font>
    <font>
      <sz val="9"/>
      <color rgb="FF1A5276"/>
      <name val="Arial"/>
      <charset val="1"/>
    </font>
    <font>
      <sz val="9"/>
      <color rgb="FF1E8449"/>
      <name val="Arial"/>
      <charset val="1"/>
    </font>
    <font>
      <b/>
      <sz val="12"/>
      <color rgb="FFFFFFFF"/>
      <name val="Arial"/>
      <charset val="1"/>
    </font>
    <font>
      <i/>
      <sz val="9"/>
      <color rgb="FFF5A623"/>
      <name val="Arial"/>
      <charset val="1"/>
    </font>
    <font>
      <sz val="9"/>
      <color rgb="FF000000"/>
      <name val="Arial"/>
      <charset val="1"/>
    </font>
    <font>
      <b/>
      <sz val="9"/>
      <color rgb="FF1E8449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C0392B"/>
        <bgColor rgb="FF922B21"/>
      </patternFill>
    </fill>
    <fill>
      <patternFill patternType="solid">
        <fgColor rgb="FF2C3E50"/>
        <bgColor rgb="FF1A5276"/>
      </patternFill>
    </fill>
    <fill>
      <patternFill patternType="solid">
        <fgColor rgb="FFFFFFFF"/>
        <bgColor rgb="FFF9F9F9"/>
      </patternFill>
    </fill>
    <fill>
      <patternFill patternType="solid">
        <fgColor rgb="FFFFF3CD"/>
        <bgColor rgb="FFF9F9F9"/>
      </patternFill>
    </fill>
    <fill>
      <patternFill patternType="solid">
        <fgColor rgb="FFF9F9F9"/>
        <bgColor rgb="FFF7F9FB"/>
      </patternFill>
    </fill>
    <fill>
      <patternFill patternType="solid">
        <fgColor rgb="FFFADBD8"/>
        <bgColor rgb="FFFFF3CD"/>
      </patternFill>
    </fill>
    <fill>
      <patternFill patternType="solid">
        <fgColor rgb="FFD6EAF8"/>
        <bgColor rgb="FFD5F5E3"/>
      </patternFill>
    </fill>
    <fill>
      <patternFill patternType="solid">
        <fgColor rgb="FF1A5276"/>
        <bgColor rgb="FF2C3E50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FF6C3483"/>
        <bgColor rgb="FF922B21"/>
      </patternFill>
    </fill>
    <fill>
      <patternFill patternType="solid">
        <fgColor rgb="FF16213E"/>
        <bgColor rgb="FF1A1A2E"/>
      </patternFill>
    </fill>
    <fill>
      <patternFill patternType="solid">
        <fgColor rgb="FFEBF5FB"/>
        <bgColor rgb="FFEAFAF1"/>
      </patternFill>
    </fill>
    <fill>
      <patternFill patternType="solid">
        <fgColor rgb="FFEAFAF1"/>
        <bgColor rgb="FFEBF5FB"/>
      </patternFill>
    </fill>
    <fill>
      <patternFill patternType="solid">
        <fgColor rgb="FFF7F9FB"/>
        <b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10" borderId="0" xfId="0" applyFont="1" applyFill="1" applyBorder="1" applyAlignment="1">
      <alignment horizontal="left" vertical="center" wrapText="1"/>
    </xf>
    <xf numFmtId="0" fontId="2" fillId="11" borderId="0" xfId="0" applyFont="1" applyFill="1" applyBorder="1" applyAlignment="1">
      <alignment horizontal="left" vertical="center" wrapText="1"/>
    </xf>
    <xf numFmtId="0" fontId="2" fillId="13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1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88888"/>
      <rgbColor rgb="FF9999FF"/>
      <rgbColor rgb="FF6C3483"/>
      <rgbColor rgb="FFFFF3CD"/>
      <rgbColor rgb="FFD6EAF8"/>
      <rgbColor rgb="FF660066"/>
      <rgbColor rgb="FFFF8080"/>
      <rgbColor rgb="FF0066CC"/>
      <rgbColor rgb="FFEBF5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9F9F9"/>
      <rgbColor rgb="FFF7F9FB"/>
      <rgbColor rgb="FFFF99CC"/>
      <rgbColor rgb="FFCC99FF"/>
      <rgbColor rgb="FFFADBD8"/>
      <rgbColor rgb="FF3366FF"/>
      <rgbColor rgb="FF33CCCC"/>
      <rgbColor rgb="FF99CC00"/>
      <rgbColor rgb="FFFFCC00"/>
      <rgbColor rgb="FFF5A623"/>
      <rgbColor rgb="FFFF6600"/>
      <rgbColor rgb="FF666699"/>
      <rgbColor rgb="FF969696"/>
      <rgbColor rgb="FF16213E"/>
      <rgbColor rgb="FF1E8449"/>
      <rgbColor rgb="FF1A1A2E"/>
      <rgbColor rgb="FF1A1A1A"/>
      <rgbColor rgb="FF922B21"/>
      <rgbColor rgb="FFC0392B"/>
      <rgbColor rgb="FF1A527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zoomScaleNormal="100" workbookViewId="0">
      <pane ySplit="1" topLeftCell="A2" activePane="bottomLeft" state="frozen"/>
      <selection pane="bottomLeft" activeCell="C30" sqref="C30:C34"/>
    </sheetView>
  </sheetViews>
  <sheetFormatPr defaultColWidth="8.7421875" defaultRowHeight="15" x14ac:dyDescent="0.2"/>
  <cols>
    <col min="1" max="1" width="27.98046875" customWidth="1"/>
    <col min="2" max="2" width="13.98828125" customWidth="1"/>
    <col min="3" max="3" width="16.0078125" customWidth="1"/>
    <col min="4" max="4" width="22.05859375" customWidth="1"/>
    <col min="5" max="5" width="52.05859375" customWidth="1"/>
    <col min="6" max="6" width="2.95703125" customWidth="1"/>
  </cols>
  <sheetData>
    <row r="1" spans="1:6" ht="36" customHeight="1" x14ac:dyDescent="0.2">
      <c r="A1" s="28" t="s">
        <v>0</v>
      </c>
      <c r="B1" s="28"/>
      <c r="C1" s="28"/>
      <c r="D1" s="28"/>
      <c r="E1" s="28"/>
      <c r="F1" s="28"/>
    </row>
    <row r="2" spans="1:6" ht="24" customHeight="1" x14ac:dyDescent="0.2">
      <c r="A2" s="29" t="s">
        <v>1</v>
      </c>
      <c r="B2" s="29"/>
      <c r="C2" s="29"/>
      <c r="D2" s="29"/>
      <c r="E2" s="29"/>
    </row>
    <row r="3" spans="1:6" ht="18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6" ht="19.5" customHeight="1" x14ac:dyDescent="0.2">
      <c r="A4" s="2" t="s">
        <v>6</v>
      </c>
      <c r="B4" s="3" t="s">
        <v>7</v>
      </c>
      <c r="C4" s="4" t="s">
        <v>8</v>
      </c>
      <c r="D4" s="5" t="s">
        <v>9</v>
      </c>
    </row>
    <row r="5" spans="1:6" ht="19.5" customHeight="1" x14ac:dyDescent="0.2">
      <c r="A5" s="6" t="s">
        <v>10</v>
      </c>
      <c r="B5" s="7" t="s">
        <v>11</v>
      </c>
      <c r="C5" s="8" t="s">
        <v>12</v>
      </c>
      <c r="D5" s="9" t="s">
        <v>13</v>
      </c>
    </row>
    <row r="6" spans="1:6" ht="19.5" customHeight="1" x14ac:dyDescent="0.2">
      <c r="A6" s="2" t="s">
        <v>14</v>
      </c>
      <c r="B6" s="10" t="s">
        <v>15</v>
      </c>
      <c r="C6" s="4" t="s">
        <v>16</v>
      </c>
      <c r="D6" s="5" t="s">
        <v>17</v>
      </c>
    </row>
    <row r="7" spans="1:6" ht="19.5" customHeight="1" x14ac:dyDescent="0.2">
      <c r="A7" s="6" t="s">
        <v>18</v>
      </c>
      <c r="B7" s="7" t="s">
        <v>11</v>
      </c>
      <c r="C7" s="8" t="s">
        <v>19</v>
      </c>
      <c r="D7" s="9" t="s">
        <v>20</v>
      </c>
    </row>
    <row r="8" spans="1:6" ht="19.5" customHeight="1" x14ac:dyDescent="0.2">
      <c r="A8" s="2" t="s">
        <v>21</v>
      </c>
      <c r="B8" s="3" t="s">
        <v>7</v>
      </c>
      <c r="C8" s="4" t="s">
        <v>22</v>
      </c>
      <c r="D8" s="5" t="s">
        <v>23</v>
      </c>
    </row>
    <row r="9" spans="1:6" ht="19.5" customHeight="1" x14ac:dyDescent="0.2">
      <c r="A9" s="6" t="s">
        <v>24</v>
      </c>
      <c r="B9" s="3" t="s">
        <v>7</v>
      </c>
      <c r="C9" s="8" t="s">
        <v>25</v>
      </c>
      <c r="D9" s="9" t="s">
        <v>26</v>
      </c>
    </row>
    <row r="11" spans="1:6" ht="24" customHeight="1" x14ac:dyDescent="0.2">
      <c r="A11" s="30" t="s">
        <v>27</v>
      </c>
      <c r="B11" s="30"/>
      <c r="C11" s="30"/>
      <c r="D11" s="30"/>
      <c r="E11" s="30"/>
    </row>
    <row r="12" spans="1:6" ht="18" customHeight="1" x14ac:dyDescent="0.2">
      <c r="A12" s="1" t="s">
        <v>2</v>
      </c>
      <c r="B12" s="1" t="s">
        <v>3</v>
      </c>
      <c r="C12" s="1" t="s">
        <v>4</v>
      </c>
      <c r="D12" s="1" t="s">
        <v>5</v>
      </c>
    </row>
    <row r="13" spans="1:6" ht="19.5" customHeight="1" x14ac:dyDescent="0.2">
      <c r="A13" s="2" t="s">
        <v>28</v>
      </c>
      <c r="B13" s="10" t="s">
        <v>15</v>
      </c>
      <c r="C13" s="4" t="s">
        <v>29</v>
      </c>
      <c r="D13" s="5" t="s">
        <v>30</v>
      </c>
    </row>
    <row r="14" spans="1:6" ht="19.5" customHeight="1" x14ac:dyDescent="0.2">
      <c r="A14" s="6" t="s">
        <v>31</v>
      </c>
      <c r="B14" s="7" t="s">
        <v>11</v>
      </c>
      <c r="C14" s="8" t="s">
        <v>32</v>
      </c>
      <c r="D14" s="9" t="s">
        <v>33</v>
      </c>
    </row>
    <row r="15" spans="1:6" ht="19.5" customHeight="1" x14ac:dyDescent="0.2">
      <c r="A15" s="2" t="s">
        <v>34</v>
      </c>
      <c r="B15" s="10" t="s">
        <v>15</v>
      </c>
      <c r="C15" s="4" t="s">
        <v>25</v>
      </c>
      <c r="D15" s="5" t="s">
        <v>35</v>
      </c>
    </row>
    <row r="16" spans="1:6" ht="19.5" customHeight="1" x14ac:dyDescent="0.2">
      <c r="A16" s="6" t="s">
        <v>36</v>
      </c>
      <c r="B16" s="7" t="s">
        <v>11</v>
      </c>
      <c r="C16" s="8" t="s">
        <v>37</v>
      </c>
      <c r="D16" s="9" t="s">
        <v>38</v>
      </c>
    </row>
    <row r="17" spans="1:5" ht="19.5" customHeight="1" x14ac:dyDescent="0.2">
      <c r="A17" s="2" t="s">
        <v>39</v>
      </c>
      <c r="B17" s="10" t="s">
        <v>15</v>
      </c>
      <c r="C17" s="4" t="s">
        <v>40</v>
      </c>
      <c r="D17" s="5" t="s">
        <v>41</v>
      </c>
    </row>
    <row r="18" spans="1:5" ht="19.5" customHeight="1" x14ac:dyDescent="0.2">
      <c r="A18" s="6" t="s">
        <v>42</v>
      </c>
      <c r="B18" s="10" t="s">
        <v>15</v>
      </c>
      <c r="C18" s="8" t="s">
        <v>40</v>
      </c>
      <c r="D18" s="9" t="s">
        <v>43</v>
      </c>
    </row>
    <row r="20" spans="1:5" ht="24" customHeight="1" x14ac:dyDescent="0.2">
      <c r="A20" s="31" t="s">
        <v>44</v>
      </c>
      <c r="B20" s="31"/>
      <c r="C20" s="31"/>
      <c r="D20" s="31"/>
      <c r="E20" s="31"/>
    </row>
    <row r="21" spans="1:5" ht="18" customHeight="1" x14ac:dyDescent="0.2">
      <c r="A21" s="1" t="s">
        <v>2</v>
      </c>
      <c r="B21" s="1" t="s">
        <v>3</v>
      </c>
      <c r="C21" s="1" t="s">
        <v>4</v>
      </c>
      <c r="D21" s="1" t="s">
        <v>5</v>
      </c>
    </row>
    <row r="22" spans="1:5" ht="19.5" customHeight="1" x14ac:dyDescent="0.2">
      <c r="A22" s="2" t="s">
        <v>45</v>
      </c>
      <c r="B22" s="7" t="s">
        <v>11</v>
      </c>
      <c r="C22" s="4" t="s">
        <v>46</v>
      </c>
      <c r="D22" s="5" t="s">
        <v>47</v>
      </c>
    </row>
    <row r="23" spans="1:5" ht="19.5" customHeight="1" x14ac:dyDescent="0.2">
      <c r="A23" s="6" t="s">
        <v>48</v>
      </c>
      <c r="B23" s="11" t="s">
        <v>49</v>
      </c>
      <c r="C23" s="8" t="s">
        <v>50</v>
      </c>
      <c r="D23" s="9" t="s">
        <v>51</v>
      </c>
    </row>
    <row r="24" spans="1:5" ht="19.5" customHeight="1" x14ac:dyDescent="0.2">
      <c r="A24" s="2" t="s">
        <v>52</v>
      </c>
      <c r="B24" s="10" t="s">
        <v>15</v>
      </c>
      <c r="C24" s="4" t="s">
        <v>53</v>
      </c>
      <c r="D24" s="5" t="s">
        <v>54</v>
      </c>
    </row>
    <row r="25" spans="1:5" ht="19.5" customHeight="1" x14ac:dyDescent="0.2">
      <c r="A25" s="6" t="s">
        <v>55</v>
      </c>
      <c r="B25" s="10" t="s">
        <v>15</v>
      </c>
      <c r="C25" s="8" t="s">
        <v>40</v>
      </c>
      <c r="D25" s="9" t="s">
        <v>56</v>
      </c>
    </row>
    <row r="26" spans="1:5" ht="19.5" customHeight="1" x14ac:dyDescent="0.2">
      <c r="A26" s="2" t="s">
        <v>57</v>
      </c>
      <c r="B26" s="10" t="s">
        <v>15</v>
      </c>
      <c r="C26" s="4" t="s">
        <v>58</v>
      </c>
      <c r="D26" s="5" t="s">
        <v>59</v>
      </c>
    </row>
    <row r="27" spans="1:5" ht="19.5" customHeight="1" x14ac:dyDescent="0.2">
      <c r="A27" s="6" t="s">
        <v>60</v>
      </c>
      <c r="B27" s="11" t="s">
        <v>61</v>
      </c>
      <c r="C27" s="8" t="s">
        <v>40</v>
      </c>
      <c r="D27" s="9" t="s">
        <v>62</v>
      </c>
    </row>
    <row r="29" spans="1:5" ht="24" customHeight="1" x14ac:dyDescent="0.2">
      <c r="A29" s="32" t="s">
        <v>63</v>
      </c>
      <c r="B29" s="32"/>
      <c r="C29" s="32"/>
      <c r="D29" s="32"/>
      <c r="E29" s="32"/>
    </row>
    <row r="30" spans="1:5" ht="18" customHeight="1" x14ac:dyDescent="0.2">
      <c r="A30" s="1" t="s">
        <v>2</v>
      </c>
      <c r="B30" s="1" t="s">
        <v>3</v>
      </c>
      <c r="C30" s="1" t="s">
        <v>4</v>
      </c>
      <c r="D30" s="1" t="s">
        <v>5</v>
      </c>
    </row>
    <row r="31" spans="1:5" ht="19.5" customHeight="1" x14ac:dyDescent="0.2">
      <c r="A31" s="2" t="s">
        <v>64</v>
      </c>
      <c r="B31" s="7" t="s">
        <v>11</v>
      </c>
      <c r="C31" s="4" t="s">
        <v>65</v>
      </c>
      <c r="D31" s="5" t="s">
        <v>66</v>
      </c>
    </row>
    <row r="32" spans="1:5" ht="19.5" customHeight="1" x14ac:dyDescent="0.2">
      <c r="A32" s="6" t="s">
        <v>67</v>
      </c>
      <c r="B32" s="10" t="s">
        <v>15</v>
      </c>
      <c r="C32" s="8" t="s">
        <v>40</v>
      </c>
      <c r="D32" s="9" t="s">
        <v>68</v>
      </c>
    </row>
    <row r="33" spans="1:4" ht="19.5" customHeight="1" x14ac:dyDescent="0.2">
      <c r="A33" s="2" t="s">
        <v>69</v>
      </c>
      <c r="B33" s="11" t="s">
        <v>61</v>
      </c>
      <c r="C33" s="4" t="s">
        <v>40</v>
      </c>
      <c r="D33" s="5" t="s">
        <v>70</v>
      </c>
    </row>
    <row r="34" spans="1:4" ht="19.5" customHeight="1" x14ac:dyDescent="0.2">
      <c r="A34" s="6" t="s">
        <v>71</v>
      </c>
      <c r="B34" s="11" t="s">
        <v>61</v>
      </c>
      <c r="C34" s="8" t="s">
        <v>25</v>
      </c>
      <c r="D34" s="9" t="s">
        <v>72</v>
      </c>
    </row>
  </sheetData>
  <mergeCells count="5">
    <mergeCell ref="A1:F1"/>
    <mergeCell ref="A2:E2"/>
    <mergeCell ref="A11:E11"/>
    <mergeCell ref="A20:E20"/>
    <mergeCell ref="A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showGridLines="0" tabSelected="1" topLeftCell="B1" zoomScaleNormal="100" workbookViewId="0">
      <pane ySplit="3" topLeftCell="B4" activePane="bottomLeft" state="frozen"/>
      <selection activeCell="B1" sqref="B1"/>
      <selection pane="bottomLeft" activeCell="G7" sqref="G7"/>
    </sheetView>
  </sheetViews>
  <sheetFormatPr defaultColWidth="8.7421875" defaultRowHeight="15" x14ac:dyDescent="0.2"/>
  <cols>
    <col min="1" max="1" width="27.98046875" customWidth="1"/>
    <col min="2" max="2" width="13.98828125" customWidth="1"/>
    <col min="3" max="3" width="6.05078125" customWidth="1"/>
    <col min="4" max="4" width="9.953125" customWidth="1"/>
    <col min="5" max="5" width="7.93359375" customWidth="1"/>
    <col min="6" max="6" width="9.953125" customWidth="1"/>
    <col min="7" max="14" width="7.93359375" customWidth="1"/>
    <col min="15" max="15" width="36.05078125" customWidth="1"/>
  </cols>
  <sheetData>
    <row r="1" spans="1:15" ht="31.5" customHeight="1" x14ac:dyDescent="0.2">
      <c r="A1" s="33" t="s">
        <v>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5" ht="15.75" customHeight="1" x14ac:dyDescent="0.2">
      <c r="A2" s="34" t="s">
        <v>74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5" ht="27.75" customHeight="1" x14ac:dyDescent="0.2">
      <c r="A3" s="1" t="s">
        <v>2</v>
      </c>
      <c r="B3" s="1" t="s">
        <v>3</v>
      </c>
      <c r="C3" s="1" t="s">
        <v>75</v>
      </c>
      <c r="D3" s="1" t="s">
        <v>76</v>
      </c>
      <c r="E3" s="1" t="s">
        <v>77</v>
      </c>
      <c r="F3" s="1" t="s">
        <v>78</v>
      </c>
      <c r="G3" s="1" t="s">
        <v>79</v>
      </c>
      <c r="H3" s="1" t="s">
        <v>80</v>
      </c>
      <c r="I3" s="1" t="s">
        <v>81</v>
      </c>
      <c r="J3" s="1" t="s">
        <v>82</v>
      </c>
      <c r="K3" s="1" t="s">
        <v>83</v>
      </c>
      <c r="L3" s="1" t="s">
        <v>84</v>
      </c>
      <c r="M3" s="1" t="s">
        <v>85</v>
      </c>
      <c r="N3" s="1" t="s">
        <v>86</v>
      </c>
      <c r="O3" s="1" t="s">
        <v>87</v>
      </c>
    </row>
    <row r="4" spans="1:15" ht="18" customHeight="1" x14ac:dyDescent="0.2">
      <c r="A4" s="2" t="s">
        <v>6</v>
      </c>
      <c r="B4" s="3" t="s">
        <v>7</v>
      </c>
      <c r="C4" s="4" t="s">
        <v>88</v>
      </c>
      <c r="D4" s="12"/>
      <c r="E4" s="12"/>
      <c r="F4" s="13" t="str">
        <f>IF(AND(ISNUMBER(D4),ISNUMBER(E4),E4&gt;0),ROUND(D4*(1+E4/30),0),"")</f>
        <v/>
      </c>
      <c r="G4" s="14" t="s">
        <v>92</v>
      </c>
      <c r="H4" s="14"/>
      <c r="I4" s="14"/>
      <c r="J4" s="14"/>
      <c r="K4" s="14"/>
      <c r="L4" s="14"/>
      <c r="M4" s="14"/>
      <c r="N4" s="14"/>
      <c r="O4" s="15"/>
    </row>
    <row r="5" spans="1:15" ht="18" customHeight="1" x14ac:dyDescent="0.2">
      <c r="A5" s="16" t="s">
        <v>10</v>
      </c>
      <c r="B5" s="7" t="s">
        <v>11</v>
      </c>
      <c r="C5" s="17" t="s">
        <v>88</v>
      </c>
      <c r="D5" s="12">
        <v>135</v>
      </c>
      <c r="E5" s="12">
        <v>10</v>
      </c>
      <c r="F5" s="13">
        <f>IF(AND(ISNUMBER(D5),ISNUMBER(E5),E5&gt;0),ROUND(D5*(1+E5/30),0),"")</f>
        <v>180</v>
      </c>
      <c r="G5" s="18" t="s">
        <v>93</v>
      </c>
      <c r="H5" s="18"/>
      <c r="I5" s="18"/>
      <c r="J5" s="18"/>
      <c r="K5" s="18"/>
      <c r="L5" s="18"/>
      <c r="M5" s="18"/>
      <c r="N5" s="18"/>
      <c r="O5" s="19"/>
    </row>
    <row r="6" spans="1:15" ht="18" customHeight="1" x14ac:dyDescent="0.2">
      <c r="A6" s="2" t="s">
        <v>14</v>
      </c>
      <c r="B6" s="10" t="s">
        <v>15</v>
      </c>
      <c r="C6" s="4" t="s">
        <v>88</v>
      </c>
      <c r="D6" s="12"/>
      <c r="E6" s="12"/>
      <c r="F6" s="13" t="str">
        <f>IF(AND(ISNUMBER(D6),ISNUMBER(E6),E6&gt;0),ROUND(D6*(1+E6/30),0),"")</f>
        <v/>
      </c>
      <c r="G6" s="14"/>
      <c r="H6" s="14"/>
      <c r="I6" s="14"/>
      <c r="J6" s="14"/>
      <c r="K6" s="14"/>
      <c r="L6" s="14"/>
      <c r="M6" s="14"/>
      <c r="N6" s="14"/>
      <c r="O6" s="15"/>
    </row>
    <row r="7" spans="1:15" ht="18" customHeight="1" x14ac:dyDescent="0.2">
      <c r="A7" s="16" t="s">
        <v>18</v>
      </c>
      <c r="B7" s="7" t="s">
        <v>11</v>
      </c>
      <c r="C7" s="17" t="s">
        <v>88</v>
      </c>
      <c r="D7" s="12">
        <v>185</v>
      </c>
      <c r="E7" s="12">
        <v>10</v>
      </c>
      <c r="F7" s="13">
        <f>IF(AND(ISNUMBER(D7),ISNUMBER(E7),E7&gt;0),ROUND(D7*(1+E7/30),0),"")</f>
        <v>247</v>
      </c>
      <c r="G7" s="18" t="s">
        <v>95</v>
      </c>
      <c r="H7" s="18"/>
      <c r="I7" s="18"/>
      <c r="J7" s="18"/>
      <c r="K7" s="18"/>
      <c r="L7" s="18"/>
      <c r="M7" s="18"/>
      <c r="N7" s="18"/>
      <c r="O7" s="19"/>
    </row>
    <row r="8" spans="1:15" ht="18" customHeight="1" x14ac:dyDescent="0.2">
      <c r="A8" s="2" t="s">
        <v>21</v>
      </c>
      <c r="B8" s="3" t="s">
        <v>7</v>
      </c>
      <c r="C8" s="4" t="s">
        <v>88</v>
      </c>
      <c r="D8" s="12"/>
      <c r="E8" s="12"/>
      <c r="F8" s="13" t="str">
        <f>IF(AND(ISNUMBER(D8),ISNUMBER(E8),E8&gt;0),ROUND(D8*(1+E8/30),0),"")</f>
        <v/>
      </c>
      <c r="G8" s="14" t="s">
        <v>94</v>
      </c>
      <c r="H8" s="14"/>
      <c r="I8" s="14"/>
      <c r="J8" s="14"/>
      <c r="K8" s="14"/>
      <c r="L8" s="14"/>
      <c r="M8" s="14"/>
      <c r="N8" s="14"/>
      <c r="O8" s="15"/>
    </row>
    <row r="9" spans="1:15" ht="18" customHeight="1" x14ac:dyDescent="0.2">
      <c r="A9" s="16" t="s">
        <v>24</v>
      </c>
      <c r="B9" s="3" t="s">
        <v>7</v>
      </c>
      <c r="C9" s="17" t="s">
        <v>88</v>
      </c>
      <c r="D9" s="12"/>
      <c r="E9" s="12"/>
      <c r="F9" s="13" t="str">
        <f>IF(AND(ISNUMBER(D9),ISNUMBER(E9),E9&gt;0),ROUND(D9*(1+E9/30),0),"")</f>
        <v/>
      </c>
      <c r="G9" s="18"/>
      <c r="H9" s="18"/>
      <c r="I9" s="18"/>
      <c r="J9" s="18"/>
      <c r="K9" s="18"/>
      <c r="L9" s="18"/>
      <c r="M9" s="18"/>
      <c r="N9" s="18"/>
      <c r="O9" s="19"/>
    </row>
    <row r="10" spans="1:15" ht="18" customHeight="1" x14ac:dyDescent="0.2">
      <c r="A10" s="20" t="s">
        <v>28</v>
      </c>
      <c r="B10" s="21" t="s">
        <v>15</v>
      </c>
      <c r="C10" s="22" t="s">
        <v>89</v>
      </c>
      <c r="D10" s="23"/>
      <c r="E10" s="23"/>
      <c r="F10" s="24" t="str">
        <f>IF(AND(ISNUMBER(D10),ISNUMBER(E10),E10&gt;0),ROUND(D10*(1+E10/30),0),"")</f>
        <v/>
      </c>
      <c r="G10" s="25"/>
      <c r="H10" s="25"/>
      <c r="I10" s="25"/>
      <c r="J10" s="25"/>
      <c r="K10" s="25"/>
      <c r="L10" s="25"/>
      <c r="M10" s="25"/>
      <c r="N10" s="25"/>
      <c r="O10" s="26"/>
    </row>
    <row r="11" spans="1:15" ht="18" customHeight="1" x14ac:dyDescent="0.2">
      <c r="A11" s="16" t="s">
        <v>31</v>
      </c>
      <c r="B11" s="7" t="s">
        <v>11</v>
      </c>
      <c r="C11" s="17" t="s">
        <v>89</v>
      </c>
      <c r="D11" s="12"/>
      <c r="E11" s="12"/>
      <c r="F11" s="13" t="str">
        <f>IF(AND(ISNUMBER(D11),ISNUMBER(E11),E11&gt;0),ROUND(D11*(1+E11/30),0),"")</f>
        <v/>
      </c>
      <c r="G11" s="18"/>
      <c r="H11" s="18"/>
      <c r="I11" s="18"/>
      <c r="J11" s="18"/>
      <c r="K11" s="18"/>
      <c r="L11" s="18"/>
      <c r="M11" s="18"/>
      <c r="N11" s="18"/>
      <c r="O11" s="19"/>
    </row>
    <row r="12" spans="1:15" ht="18" customHeight="1" x14ac:dyDescent="0.2">
      <c r="A12" s="2" t="s">
        <v>34</v>
      </c>
      <c r="B12" s="10" t="s">
        <v>15</v>
      </c>
      <c r="C12" s="4" t="s">
        <v>89</v>
      </c>
      <c r="D12" s="12"/>
      <c r="E12" s="12"/>
      <c r="F12" s="13" t="str">
        <f>IF(AND(ISNUMBER(D12),ISNUMBER(E12),E12&gt;0),ROUND(D12*(1+E12/30),0),"")</f>
        <v/>
      </c>
      <c r="G12" s="14"/>
      <c r="H12" s="14"/>
      <c r="I12" s="14"/>
      <c r="J12" s="14"/>
      <c r="K12" s="14"/>
      <c r="L12" s="14"/>
      <c r="M12" s="14"/>
      <c r="N12" s="14"/>
      <c r="O12" s="15"/>
    </row>
    <row r="13" spans="1:15" ht="18" customHeight="1" x14ac:dyDescent="0.2">
      <c r="A13" s="16" t="s">
        <v>36</v>
      </c>
      <c r="B13" s="7" t="s">
        <v>11</v>
      </c>
      <c r="C13" s="17" t="s">
        <v>89</v>
      </c>
      <c r="D13" s="12"/>
      <c r="E13" s="12"/>
      <c r="F13" s="13" t="str">
        <f>IF(AND(ISNUMBER(D13),ISNUMBER(E13),E13&gt;0),ROUND(D13*(1+E13/30),0),"")</f>
        <v/>
      </c>
      <c r="G13" s="18"/>
      <c r="H13" s="18"/>
      <c r="I13" s="18"/>
      <c r="J13" s="18"/>
      <c r="K13" s="18"/>
      <c r="L13" s="18"/>
      <c r="M13" s="18"/>
      <c r="N13" s="18"/>
      <c r="O13" s="19"/>
    </row>
    <row r="14" spans="1:15" ht="18" customHeight="1" x14ac:dyDescent="0.2">
      <c r="A14" s="2" t="s">
        <v>39</v>
      </c>
      <c r="B14" s="10" t="s">
        <v>15</v>
      </c>
      <c r="C14" s="4" t="s">
        <v>89</v>
      </c>
      <c r="D14" s="12"/>
      <c r="E14" s="12"/>
      <c r="F14" s="13" t="str">
        <f>IF(AND(ISNUMBER(D14),ISNUMBER(E14),E14&gt;0),ROUND(D14*(1+E14/30),0),"")</f>
        <v/>
      </c>
      <c r="G14" s="14"/>
      <c r="H14" s="14"/>
      <c r="I14" s="14"/>
      <c r="J14" s="14"/>
      <c r="K14" s="14"/>
      <c r="L14" s="14"/>
      <c r="M14" s="14"/>
      <c r="N14" s="14"/>
      <c r="O14" s="15"/>
    </row>
    <row r="15" spans="1:15" ht="18" customHeight="1" x14ac:dyDescent="0.2">
      <c r="A15" s="16" t="s">
        <v>42</v>
      </c>
      <c r="B15" s="10" t="s">
        <v>15</v>
      </c>
      <c r="C15" s="17" t="s">
        <v>89</v>
      </c>
      <c r="D15" s="12"/>
      <c r="E15" s="12"/>
      <c r="F15" s="13" t="str">
        <f>IF(AND(ISNUMBER(D15),ISNUMBER(E15),E15&gt;0),ROUND(D15*(1+E15/30),0),"")</f>
        <v/>
      </c>
      <c r="G15" s="18"/>
      <c r="H15" s="18"/>
      <c r="I15" s="18"/>
      <c r="J15" s="18"/>
      <c r="K15" s="18"/>
      <c r="L15" s="18"/>
      <c r="M15" s="18"/>
      <c r="N15" s="18"/>
      <c r="O15" s="19"/>
    </row>
    <row r="16" spans="1:15" ht="18" customHeight="1" x14ac:dyDescent="0.2">
      <c r="A16" s="20" t="s">
        <v>45</v>
      </c>
      <c r="B16" s="27" t="s">
        <v>11</v>
      </c>
      <c r="C16" s="22" t="s">
        <v>90</v>
      </c>
      <c r="D16" s="23"/>
      <c r="E16" s="23"/>
      <c r="F16" s="24" t="str">
        <f>IF(AND(ISNUMBER(D16),ISNUMBER(E16),E16&gt;0),ROUND(D16*(1+E16/30),0),"")</f>
        <v/>
      </c>
      <c r="G16" s="25"/>
      <c r="H16" s="25"/>
      <c r="I16" s="25"/>
      <c r="J16" s="25"/>
      <c r="K16" s="25"/>
      <c r="L16" s="25"/>
      <c r="M16" s="25"/>
      <c r="N16" s="25"/>
      <c r="O16" s="26"/>
    </row>
    <row r="17" spans="1:15" ht="18" customHeight="1" x14ac:dyDescent="0.2">
      <c r="A17" s="16" t="s">
        <v>48</v>
      </c>
      <c r="B17" s="11" t="s">
        <v>49</v>
      </c>
      <c r="C17" s="17" t="s">
        <v>90</v>
      </c>
      <c r="D17" s="12"/>
      <c r="E17" s="12"/>
      <c r="F17" s="13" t="str">
        <f>IF(AND(ISNUMBER(D17),ISNUMBER(E17),E17&gt;0),ROUND(D17*(1+E17/30),0),"")</f>
        <v/>
      </c>
      <c r="G17" s="18"/>
      <c r="H17" s="18"/>
      <c r="I17" s="18"/>
      <c r="J17" s="18"/>
      <c r="K17" s="18"/>
      <c r="L17" s="18"/>
      <c r="M17" s="18"/>
      <c r="N17" s="18"/>
      <c r="O17" s="19"/>
    </row>
    <row r="18" spans="1:15" ht="18" customHeight="1" x14ac:dyDescent="0.2">
      <c r="A18" s="2" t="s">
        <v>52</v>
      </c>
      <c r="B18" s="10" t="s">
        <v>15</v>
      </c>
      <c r="C18" s="4" t="s">
        <v>90</v>
      </c>
      <c r="D18" s="12"/>
      <c r="E18" s="12"/>
      <c r="F18" s="13" t="str">
        <f>IF(AND(ISNUMBER(D18),ISNUMBER(E18),E18&gt;0),ROUND(D18*(1+E18/30),0),"")</f>
        <v/>
      </c>
      <c r="G18" s="14"/>
      <c r="H18" s="14"/>
      <c r="I18" s="14"/>
      <c r="J18" s="14"/>
      <c r="K18" s="14"/>
      <c r="L18" s="14"/>
      <c r="M18" s="14"/>
      <c r="N18" s="14"/>
      <c r="O18" s="15"/>
    </row>
    <row r="19" spans="1:15" ht="18" customHeight="1" x14ac:dyDescent="0.2">
      <c r="A19" s="16" t="s">
        <v>55</v>
      </c>
      <c r="B19" s="10" t="s">
        <v>15</v>
      </c>
      <c r="C19" s="17" t="s">
        <v>90</v>
      </c>
      <c r="D19" s="12"/>
      <c r="E19" s="12"/>
      <c r="F19" s="13" t="str">
        <f>IF(AND(ISNUMBER(D19),ISNUMBER(E19),E19&gt;0),ROUND(D19*(1+E19/30),0),"")</f>
        <v/>
      </c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8" customHeight="1" x14ac:dyDescent="0.2">
      <c r="A20" s="2" t="s">
        <v>57</v>
      </c>
      <c r="B20" s="10" t="s">
        <v>15</v>
      </c>
      <c r="C20" s="4" t="s">
        <v>90</v>
      </c>
      <c r="D20" s="12"/>
      <c r="E20" s="12"/>
      <c r="F20" s="13" t="str">
        <f>IF(AND(ISNUMBER(D20),ISNUMBER(E20),E20&gt;0),ROUND(D20*(1+E20/30),0),"")</f>
        <v/>
      </c>
      <c r="G20" s="14"/>
      <c r="H20" s="14"/>
      <c r="I20" s="14"/>
      <c r="J20" s="14"/>
      <c r="K20" s="14"/>
      <c r="L20" s="14"/>
      <c r="M20" s="14"/>
      <c r="N20" s="14"/>
      <c r="O20" s="15"/>
    </row>
    <row r="21" spans="1:15" ht="18" customHeight="1" x14ac:dyDescent="0.2">
      <c r="A21" s="16" t="s">
        <v>60</v>
      </c>
      <c r="B21" s="11" t="s">
        <v>61</v>
      </c>
      <c r="C21" s="17" t="s">
        <v>90</v>
      </c>
      <c r="D21" s="12"/>
      <c r="E21" s="12"/>
      <c r="F21" s="13" t="str">
        <f>IF(AND(ISNUMBER(D21),ISNUMBER(E21),E21&gt;0),ROUND(D21*(1+E21/30),0),"")</f>
        <v/>
      </c>
      <c r="G21" s="18"/>
      <c r="H21" s="18"/>
      <c r="I21" s="18"/>
      <c r="J21" s="18"/>
      <c r="K21" s="18"/>
      <c r="L21" s="18"/>
      <c r="M21" s="18"/>
      <c r="N21" s="18"/>
      <c r="O21" s="19"/>
    </row>
    <row r="22" spans="1:15" ht="18" customHeight="1" x14ac:dyDescent="0.2">
      <c r="A22" s="20" t="s">
        <v>64</v>
      </c>
      <c r="B22" s="27" t="s">
        <v>11</v>
      </c>
      <c r="C22" s="22" t="s">
        <v>91</v>
      </c>
      <c r="D22" s="23"/>
      <c r="E22" s="23"/>
      <c r="F22" s="24" t="str">
        <f>IF(AND(ISNUMBER(D22),ISNUMBER(E22),E22&gt;0),ROUND(D22*(1+E22/30),0),"")</f>
        <v/>
      </c>
      <c r="G22" s="25"/>
      <c r="H22" s="25"/>
      <c r="I22" s="25"/>
      <c r="J22" s="25"/>
      <c r="K22" s="25"/>
      <c r="L22" s="25"/>
      <c r="M22" s="25"/>
      <c r="N22" s="25"/>
      <c r="O22" s="26"/>
    </row>
    <row r="23" spans="1:15" ht="18" customHeight="1" x14ac:dyDescent="0.2">
      <c r="A23" s="16" t="s">
        <v>67</v>
      </c>
      <c r="B23" s="10" t="s">
        <v>15</v>
      </c>
      <c r="C23" s="17" t="s">
        <v>91</v>
      </c>
      <c r="D23" s="12"/>
      <c r="E23" s="12"/>
      <c r="F23" s="13" t="str">
        <f>IF(AND(ISNUMBER(D23),ISNUMBER(E23),E23&gt;0),ROUND(D23*(1+E23/30),0),"")</f>
        <v/>
      </c>
      <c r="G23" s="18"/>
      <c r="H23" s="18"/>
      <c r="I23" s="18"/>
      <c r="J23" s="18"/>
      <c r="K23" s="18"/>
      <c r="L23" s="18"/>
      <c r="M23" s="18"/>
      <c r="N23" s="18"/>
      <c r="O23" s="19"/>
    </row>
    <row r="24" spans="1:15" ht="18" customHeight="1" x14ac:dyDescent="0.2">
      <c r="A24" s="2" t="s">
        <v>69</v>
      </c>
      <c r="B24" s="11" t="s">
        <v>61</v>
      </c>
      <c r="C24" s="4" t="s">
        <v>91</v>
      </c>
      <c r="D24" s="12"/>
      <c r="E24" s="12"/>
      <c r="F24" s="13" t="str">
        <f>IF(AND(ISNUMBER(D24),ISNUMBER(E24),E24&gt;0),ROUND(D24*(1+E24/30),0),"")</f>
        <v/>
      </c>
      <c r="G24" s="14"/>
      <c r="H24" s="14"/>
      <c r="I24" s="14"/>
      <c r="J24" s="14"/>
      <c r="K24" s="14"/>
      <c r="L24" s="14"/>
      <c r="M24" s="14"/>
      <c r="N24" s="14"/>
      <c r="O24" s="15"/>
    </row>
    <row r="25" spans="1:15" ht="18" customHeight="1" x14ac:dyDescent="0.2">
      <c r="A25" s="16" t="s">
        <v>71</v>
      </c>
      <c r="B25" s="11" t="s">
        <v>61</v>
      </c>
      <c r="C25" s="17" t="s">
        <v>91</v>
      </c>
      <c r="D25" s="12"/>
      <c r="E25" s="12"/>
      <c r="F25" s="13" t="str">
        <f>IF(AND(ISNUMBER(D25),ISNUMBER(E25),E25&gt;0),ROUND(D25*(1+E25/30),0),"")</f>
        <v/>
      </c>
      <c r="G25" s="18"/>
      <c r="H25" s="18"/>
      <c r="I25" s="18"/>
      <c r="J25" s="18"/>
      <c r="K25" s="18"/>
      <c r="L25" s="18"/>
      <c r="M25" s="18"/>
      <c r="N25" s="18"/>
      <c r="O25" s="19"/>
    </row>
  </sheetData>
  <mergeCells count="2">
    <mergeCell ref="A1:N1"/>
    <mergeCell ref="A2:N2"/>
  </mergeCells>
  <conditionalFormatting sqref="G4:N25">
    <cfRule type="colorScale" priority="2">
      <colorScale>
        <cfvo type="min"/>
        <cfvo type="percentile" val="50"/>
        <cfvo type="max"/>
        <color rgb="FFFFCCCC"/>
        <color rgb="FFFFFFCC"/>
        <color rgb="FFCCFFCC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Program Overview</vt:lpstr>
      <vt:lpstr>📈 Progress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2026-06-28T14:41:44Z</dcterms:created>
  <dcterms:modified xsi:type="dcterms:W3CDTF">2026-06-28T14:41:45Z</dcterms:modified>
  <dc:language>en-US</dc:language>
</cp:coreProperties>
</file>